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ce761f6d7df10b9/デスクトップ/Web開発/demo_webpage_20260315/"/>
    </mc:Choice>
  </mc:AlternateContent>
  <xr:revisionPtr revIDLastSave="2" documentId="11_B06ACC4672321C398C3D3B8847B8D04BCDFC0CC8" xr6:coauthVersionLast="47" xr6:coauthVersionMax="47" xr10:uidLastSave="{84F3D2EE-FE24-4B21-8671-9D17F4A56771}"/>
  <bookViews>
    <workbookView xWindow="-110" yWindow="-110" windowWidth="22780" windowHeight="14540" activeTab="3" xr2:uid="{00000000-000D-0000-FFFF-FFFF00000000}"/>
  </bookViews>
  <sheets>
    <sheet name="リリース計画" sheetId="1" r:id="rId1"/>
    <sheet name="運用計画" sheetId="2" r:id="rId2"/>
    <sheet name="費用一覧" sheetId="3" r:id="rId3"/>
    <sheet name="ホスティング比較" sheetId="4" r:id="rId4"/>
  </sheets>
  <calcPr calcId="191029"/>
</workbook>
</file>

<file path=xl/calcChain.xml><?xml version="1.0" encoding="utf-8"?>
<calcChain xmlns="http://schemas.openxmlformats.org/spreadsheetml/2006/main">
  <c r="D25" i="3" l="1"/>
  <c r="D24" i="3"/>
  <c r="D23" i="3"/>
  <c r="D10" i="3"/>
</calcChain>
</file>

<file path=xl/sharedStrings.xml><?xml version="1.0" encoding="utf-8"?>
<sst xmlns="http://schemas.openxmlformats.org/spreadsheetml/2006/main" count="283" uniqueCount="178">
  <si>
    <t>カフェHP「Café Komorebi」リリース計画</t>
  </si>
  <si>
    <t>No.</t>
  </si>
  <si>
    <t>フェーズ</t>
  </si>
  <si>
    <t>タスク</t>
  </si>
  <si>
    <t>担当者</t>
  </si>
  <si>
    <t>予定日</t>
  </si>
  <si>
    <t>所要日数</t>
  </si>
  <si>
    <t>ステータス</t>
  </si>
  <si>
    <t>Phase 1: 環境構築</t>
  </si>
  <si>
    <t>ドメイン取得・DNS設定</t>
  </si>
  <si>
    <t>オーナー</t>
  </si>
  <si>
    <t>2026/3/17</t>
  </si>
  <si>
    <t>未着手</t>
  </si>
  <si>
    <t>ホスティングサービス契約（Vercel推奨）</t>
  </si>
  <si>
    <t>GitHubリポジトリ作成・コード Push</t>
  </si>
  <si>
    <t>開発者</t>
  </si>
  <si>
    <t>2026/3/18</t>
  </si>
  <si>
    <t>環境変数の設定</t>
  </si>
  <si>
    <t>Phase 2: データ整備</t>
  </si>
  <si>
    <t>実際のメニュー情報の入力</t>
  </si>
  <si>
    <t>2026/3/19</t>
  </si>
  <si>
    <t>店舗情報（住所・電話番号等）の確認・修正</t>
  </si>
  <si>
    <t>営業日カレンダー初期設定</t>
  </si>
  <si>
    <t>2026/3/20</t>
  </si>
  <si>
    <t>お知らせ記事の作成</t>
  </si>
  <si>
    <t>Phase 3: テスト・確認</t>
  </si>
  <si>
    <t>PC/スマホでの表示確認</t>
  </si>
  <si>
    <t>2026/3/21</t>
  </si>
  <si>
    <t>管理画面の操作テスト</t>
  </si>
  <si>
    <t>リンク・導線チェック</t>
  </si>
  <si>
    <t>Google Search Console登録</t>
  </si>
  <si>
    <t>2026/3/22</t>
  </si>
  <si>
    <t>Phase 4: 公開</t>
  </si>
  <si>
    <t>本番デプロイ</t>
  </si>
  <si>
    <t>2026/3/23</t>
  </si>
  <si>
    <t>独自ドメイン設定・SSL確認</t>
  </si>
  <si>
    <t>Google マイビジネスにURL登録</t>
  </si>
  <si>
    <t>SNSでの告知</t>
  </si>
  <si>
    <t>2026/3/24</t>
  </si>
  <si>
    <t>運用計画</t>
  </si>
  <si>
    <t>頻度</t>
  </si>
  <si>
    <t>所要時間（目安）</t>
  </si>
  <si>
    <t>備考</t>
  </si>
  <si>
    <t>日次</t>
  </si>
  <si>
    <t>お知らせの確認・更新（必要時）</t>
  </si>
  <si>
    <t>5分</t>
  </si>
  <si>
    <t>臨時休業等があれば即時更新</t>
  </si>
  <si>
    <t>週次</t>
  </si>
  <si>
    <t>週替わりメニューの更新</t>
  </si>
  <si>
    <t>10分</t>
  </si>
  <si>
    <t>毎週月曜までに翌週分を登録</t>
  </si>
  <si>
    <t>レギュラーメニューの確認・修正</t>
  </si>
  <si>
    <t>価格変更・品切れ対応</t>
  </si>
  <si>
    <t>月次</t>
  </si>
  <si>
    <t>翌月の営業日カレンダー設定</t>
  </si>
  <si>
    <t>臨時休業・臨時営業の登録</t>
  </si>
  <si>
    <t>アクセス解析レポート確認</t>
  </si>
  <si>
    <t>15分</t>
  </si>
  <si>
    <t>Google Analytics/Search Console</t>
  </si>
  <si>
    <t>サイトの表示・動作確認</t>
  </si>
  <si>
    <t>PC・スマホで確認</t>
  </si>
  <si>
    <t>四半期</t>
  </si>
  <si>
    <t>メニュー写真の追加・更新</t>
  </si>
  <si>
    <t>30分</t>
  </si>
  <si>
    <t>季節メニュー等</t>
  </si>
  <si>
    <t>SEO状況の確認・改善</t>
  </si>
  <si>
    <t>1時間</t>
  </si>
  <si>
    <t>検索順位・表示速度チェック</t>
  </si>
  <si>
    <t>半年</t>
  </si>
  <si>
    <t>セキュリティアップデート</t>
  </si>
  <si>
    <t>2時間</t>
  </si>
  <si>
    <t>依存パッケージの更新</t>
  </si>
  <si>
    <t>バックアップ・データ整理</t>
  </si>
  <si>
    <t>不要データの削除・整理</t>
  </si>
  <si>
    <t>年次</t>
  </si>
  <si>
    <t>ドメイン・ホスティング更新</t>
  </si>
  <si>
    <t>自動更新推奨</t>
  </si>
  <si>
    <t>年間運用コスト見直し</t>
  </si>
  <si>
    <t>プラン変更の検討</t>
  </si>
  <si>
    <t>費用一覧</t>
  </si>
  <si>
    <t>■ 初期費用</t>
  </si>
  <si>
    <t>項目</t>
  </si>
  <si>
    <t>内容</t>
  </si>
  <si>
    <t>費用（税込）</t>
  </si>
  <si>
    <t>必須/任意</t>
  </si>
  <si>
    <t>ドメイン取得</t>
  </si>
  <si>
    <t>.com / .jp 等</t>
  </si>
  <si>
    <t>必須</t>
  </si>
  <si>
    <t>年額。.jpは約3,000円/年</t>
  </si>
  <si>
    <t>ホスティング初期費用</t>
  </si>
  <si>
    <t>Vercel（Hobbyプラン）</t>
  </si>
  <si>
    <t>無料プランあり</t>
  </si>
  <si>
    <t>SSL証明書</t>
  </si>
  <si>
    <t>Let's Encrypt</t>
  </si>
  <si>
    <t>Vercel/Netlifyは自動・無料</t>
  </si>
  <si>
    <t>Google Workspace</t>
  </si>
  <si>
    <t>独自ドメインメール</t>
  </si>
  <si>
    <t>任意</t>
  </si>
  <si>
    <t>月額680円〜（必要な場合）</t>
  </si>
  <si>
    <t>写真撮影</t>
  </si>
  <si>
    <t>メニュー・店内写真</t>
  </si>
  <si>
    <t>自前撮影なら無料</t>
  </si>
  <si>
    <t>初期費用 合計</t>
  </si>
  <si>
    <t>■ 月額ランニングコスト</t>
  </si>
  <si>
    <t>ホスティング</t>
  </si>
  <si>
    <t>Vercel Hobby（無料）</t>
  </si>
  <si>
    <t>月間100GB帯域幅まで無料</t>
  </si>
  <si>
    <t>Vercel Pro（有料時）</t>
  </si>
  <si>
    <t>$20/月。商用利用・チーム向け</t>
  </si>
  <si>
    <t>ドメイン維持</t>
  </si>
  <si>
    <t>年額を月割り</t>
  </si>
  <si>
    <t>年額約1,500円 ÷ 12ヶ月</t>
  </si>
  <si>
    <t>Business Starter</t>
  </si>
  <si>
    <t>保守・メンテナンス</t>
  </si>
  <si>
    <t>開発者による定期保守</t>
  </si>
  <si>
    <t>自己管理なら無料</t>
  </si>
  <si>
    <t>月額費用 合計（最小構成）</t>
  </si>
  <si>
    <t>■ 年間費用サマリー</t>
  </si>
  <si>
    <t>構成</t>
  </si>
  <si>
    <t>初期費用</t>
  </si>
  <si>
    <t>月額費用</t>
  </si>
  <si>
    <t>年間合計</t>
  </si>
  <si>
    <t>最小構成（Vercel無料+ドメインのみ）</t>
  </si>
  <si>
    <t>推奨構成（Vercel Pro+ドメイン）</t>
  </si>
  <si>
    <t>フル構成（Pro+メール+保守）</t>
  </si>
  <si>
    <t>ホスティングサービス比較</t>
  </si>
  <si>
    <t>サービス名</t>
  </si>
  <si>
    <t>無料プラン</t>
  </si>
  <si>
    <t>Next.js対応</t>
  </si>
  <si>
    <t>独自ドメイン</t>
  </si>
  <si>
    <t>SSL</t>
  </si>
  <si>
    <t>帯域幅</t>
  </si>
  <si>
    <t>おすすめ度</t>
  </si>
  <si>
    <t>Vercel（推奨）</t>
  </si>
  <si>
    <t>¥0〜¥2,800</t>
  </si>
  <si>
    <t>あり（Hobby）</t>
  </si>
  <si>
    <t>最適（開発元）</t>
  </si>
  <si>
    <t>無料</t>
  </si>
  <si>
    <t>自動・無料</t>
  </si>
  <si>
    <t>100GB/月（無料）</t>
  </si>
  <si>
    <t>★★★★★</t>
  </si>
  <si>
    <t>Netlify</t>
  </si>
  <si>
    <t>あり（Starter）</t>
  </si>
  <si>
    <t>対応</t>
  </si>
  <si>
    <t>★★★★</t>
  </si>
  <si>
    <t>Cloudflare Pages</t>
  </si>
  <si>
    <t>¥0</t>
  </si>
  <si>
    <t>あり</t>
  </si>
  <si>
    <t>無制限</t>
  </si>
  <si>
    <t>AWS Amplify</t>
  </si>
  <si>
    <t>¥0〜従量制</t>
  </si>
  <si>
    <t>12ヶ月無料枠</t>
  </si>
  <si>
    <t>Route 53別途</t>
  </si>
  <si>
    <t>従量制</t>
  </si>
  <si>
    <t>★★★</t>
  </si>
  <si>
    <t>レンタルサーバー（さくら）</t>
  </si>
  <si>
    <t>¥500〜</t>
  </si>
  <si>
    <t>なし</t>
  </si>
  <si>
    <t>非対応※</t>
  </si>
  <si>
    <t>無料SSL対応</t>
  </si>
  <si>
    <t>★★</t>
  </si>
  <si>
    <t>レンタルサーバー（Xserver）</t>
  </si>
  <si>
    <t>¥1,100〜</t>
  </si>
  <si>
    <t>VPS（ConoHa）</t>
  </si>
  <si>
    <t>¥700〜</t>
  </si>
  <si>
    <t>対応（要設定）</t>
  </si>
  <si>
    <t>自己設定</t>
  </si>
  <si>
    <t>※ レンタルサーバーはNext.jsのサーバーサイド機能（API Routes等）に非対応。静的エクスポートのみ対応可能。</t>
  </si>
  <si>
    <t>■ 推奨構成</t>
  </si>
  <si>
    <t>推奨</t>
  </si>
  <si>
    <t>Vercel Hobbyプラン（無料）</t>
  </si>
  <si>
    <t>Next.jsの開発元が提供するサービス。管理画面のAPI Routesを含むフル機能が利用可能。月間数千PVなら無料枠で十分。</t>
  </si>
  <si>
    <t>次点</t>
  </si>
  <si>
    <t>Netlify / Cloudflare Pages</t>
  </si>
  <si>
    <t>Vercelと同等の機能を提供。Next.jsのEdge FunctionsやSSR対応状況を要確認。</t>
  </si>
  <si>
    <t>注意</t>
  </si>
  <si>
    <t>レンタルサーバー</t>
  </si>
  <si>
    <t>本サイトはAPI Routes（管理画面）を使用しているため、レンタルサーバーでは管理画面が動作しません。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</si>
</sst>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"/>
  </numFmts>
  <fonts count="12" x14ac:knownFonts="1">
    <font>
      <sz val="11"/>
      <color theme="1"/>
      <name val="ＭＳ Ｐゴシック"/>
      <family val="2"/>
      <scheme val="minor"/>
    </font>
    <font>
      <b/>
      <sz val="14"/>
      <color rgb="FF6B4226"/>
      <name val="ＭＳ Ｐゴシック"/>
      <family val="3"/>
      <charset val="128"/>
    </font>
    <font>
      <b/>
      <sz val="12"/>
      <color rgb="FFFFFFFF"/>
      <name val="ＭＳ Ｐゴシック"/>
      <family val="3"/>
      <charset val="128"/>
    </font>
    <font>
      <b/>
      <sz val="11"/>
      <color rgb="FF6B422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color rgb="FF6B4226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0"/>
      <color rgb="FF4A2E1A"/>
      <name val="ＭＳ Ｐゴシック"/>
      <family val="3"/>
      <charset val="128"/>
    </font>
    <font>
      <i/>
      <sz val="9"/>
      <color rgb="FF7A6555"/>
      <name val="ＭＳ Ｐゴシック"/>
      <family val="3"/>
      <charset val="128"/>
    </font>
    <font>
      <b/>
      <sz val="10"/>
      <color rgb="FF006400"/>
      <name val="ＭＳ Ｐゴシック"/>
      <family val="3"/>
      <charset val="128"/>
    </font>
    <font>
      <b/>
      <sz val="10"/>
      <color rgb="FFCC0000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B4226"/>
      </patternFill>
    </fill>
    <fill>
      <patternFill patternType="solid">
        <fgColor rgb="FFF5EDE4"/>
      </patternFill>
    </fill>
    <fill>
      <patternFill patternType="solid">
        <fgColor rgb="FFE8C9A0"/>
      </patternFill>
    </fill>
    <fill>
      <patternFill patternType="solid">
        <fgColor rgb="FFFFF8E7"/>
      </patternFill>
    </fill>
  </fills>
  <borders count="2">
    <border>
      <left/>
      <right/>
      <top/>
      <bottom/>
      <diagonal/>
    </border>
    <border>
      <left style="thin">
        <color rgb="FFD5C4B0"/>
      </left>
      <right style="thin">
        <color rgb="FFD5C4B0"/>
      </right>
      <top style="thin">
        <color rgb="FFD5C4B0"/>
      </top>
      <bottom style="thin">
        <color rgb="FFD5C4B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76" fontId="4" fillId="0" borderId="1" xfId="0" applyNumberFormat="1" applyFont="1" applyBorder="1" applyAlignment="1">
      <alignment vertical="center" wrapText="1"/>
    </xf>
    <xf numFmtId="0" fontId="0" fillId="4" borderId="1" xfId="0" applyFill="1" applyBorder="1"/>
    <xf numFmtId="0" fontId="6" fillId="4" borderId="1" xfId="0" applyFont="1" applyFill="1" applyBorder="1"/>
    <xf numFmtId="176" fontId="6" fillId="4" borderId="1" xfId="0" applyNumberFormat="1" applyFont="1" applyFill="1" applyBorder="1"/>
    <xf numFmtId="0" fontId="7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" fillId="0" borderId="0" xfId="0" applyFont="1"/>
    <xf numFmtId="0" fontId="0" fillId="0" borderId="0" xfId="0"/>
    <xf numFmtId="0" fontId="3" fillId="3" borderId="0" xfId="0" applyFont="1" applyFill="1"/>
    <xf numFmtId="0" fontId="8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B4226"/>
  </sheetPr>
  <dimension ref="A1:G23"/>
  <sheetViews>
    <sheetView workbookViewId="0">
      <selection sqref="A1:G1"/>
    </sheetView>
  </sheetViews>
  <sheetFormatPr defaultRowHeight="13" x14ac:dyDescent="0.2"/>
  <cols>
    <col min="1" max="1" width="6" customWidth="1"/>
    <col min="2" max="2" width="20" customWidth="1"/>
    <col min="3" max="3" width="40" customWidth="1"/>
    <col min="4" max="4" width="12" customWidth="1"/>
    <col min="5" max="5" width="14" customWidth="1"/>
    <col min="6" max="6" width="10" customWidth="1"/>
    <col min="7" max="7" width="12" customWidth="1"/>
  </cols>
  <sheetData>
    <row r="1" spans="1:7" ht="16.5" x14ac:dyDescent="0.25">
      <c r="A1" s="13" t="s">
        <v>0</v>
      </c>
      <c r="B1" s="14"/>
      <c r="C1" s="14"/>
      <c r="D1" s="14"/>
      <c r="E1" s="14"/>
      <c r="F1" s="14"/>
      <c r="G1" s="14"/>
    </row>
    <row r="3" spans="1:7" ht="14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">
      <c r="A4" s="2"/>
      <c r="B4" s="2" t="s">
        <v>8</v>
      </c>
      <c r="C4" s="2"/>
      <c r="D4" s="2"/>
      <c r="E4" s="2"/>
      <c r="F4" s="2"/>
      <c r="G4" s="2"/>
    </row>
    <row r="5" spans="1:7" x14ac:dyDescent="0.2">
      <c r="A5" s="3">
        <v>1</v>
      </c>
      <c r="B5" s="3"/>
      <c r="C5" s="3" t="s">
        <v>9</v>
      </c>
      <c r="D5" s="3" t="s">
        <v>10</v>
      </c>
      <c r="E5" s="3" t="s">
        <v>11</v>
      </c>
      <c r="F5" s="3">
        <v>1</v>
      </c>
      <c r="G5" s="3" t="s">
        <v>12</v>
      </c>
    </row>
    <row r="6" spans="1:7" x14ac:dyDescent="0.2">
      <c r="A6" s="3">
        <v>2</v>
      </c>
      <c r="B6" s="3"/>
      <c r="C6" s="3" t="s">
        <v>13</v>
      </c>
      <c r="D6" s="3" t="s">
        <v>10</v>
      </c>
      <c r="E6" s="3" t="s">
        <v>11</v>
      </c>
      <c r="F6" s="3">
        <v>1</v>
      </c>
      <c r="G6" s="3" t="s">
        <v>12</v>
      </c>
    </row>
    <row r="7" spans="1:7" x14ac:dyDescent="0.2">
      <c r="A7" s="3">
        <v>3</v>
      </c>
      <c r="B7" s="3"/>
      <c r="C7" s="3" t="s">
        <v>14</v>
      </c>
      <c r="D7" s="3" t="s">
        <v>15</v>
      </c>
      <c r="E7" s="3" t="s">
        <v>16</v>
      </c>
      <c r="F7" s="3">
        <v>1</v>
      </c>
      <c r="G7" s="3" t="s">
        <v>12</v>
      </c>
    </row>
    <row r="8" spans="1:7" x14ac:dyDescent="0.2">
      <c r="A8" s="3">
        <v>4</v>
      </c>
      <c r="B8" s="3"/>
      <c r="C8" s="3" t="s">
        <v>17</v>
      </c>
      <c r="D8" s="3" t="s">
        <v>15</v>
      </c>
      <c r="E8" s="3" t="s">
        <v>16</v>
      </c>
      <c r="F8" s="3">
        <v>1</v>
      </c>
      <c r="G8" s="3" t="s">
        <v>12</v>
      </c>
    </row>
    <row r="9" spans="1:7" x14ac:dyDescent="0.2">
      <c r="A9" s="2"/>
      <c r="B9" s="2" t="s">
        <v>18</v>
      </c>
      <c r="C9" s="2"/>
      <c r="D9" s="2"/>
      <c r="E9" s="2"/>
      <c r="F9" s="2"/>
      <c r="G9" s="2"/>
    </row>
    <row r="10" spans="1:7" x14ac:dyDescent="0.2">
      <c r="A10" s="3">
        <v>5</v>
      </c>
      <c r="B10" s="3"/>
      <c r="C10" s="3" t="s">
        <v>19</v>
      </c>
      <c r="D10" s="3" t="s">
        <v>10</v>
      </c>
      <c r="E10" s="3" t="s">
        <v>20</v>
      </c>
      <c r="F10" s="3">
        <v>2</v>
      </c>
      <c r="G10" s="3" t="s">
        <v>12</v>
      </c>
    </row>
    <row r="11" spans="1:7" x14ac:dyDescent="0.2">
      <c r="A11" s="3">
        <v>6</v>
      </c>
      <c r="B11" s="3"/>
      <c r="C11" s="3" t="s">
        <v>21</v>
      </c>
      <c r="D11" s="3" t="s">
        <v>10</v>
      </c>
      <c r="E11" s="3" t="s">
        <v>20</v>
      </c>
      <c r="F11" s="3">
        <v>1</v>
      </c>
      <c r="G11" s="3" t="s">
        <v>12</v>
      </c>
    </row>
    <row r="12" spans="1:7" x14ac:dyDescent="0.2">
      <c r="A12" s="3">
        <v>7</v>
      </c>
      <c r="B12" s="3"/>
      <c r="C12" s="3" t="s">
        <v>22</v>
      </c>
      <c r="D12" s="3" t="s">
        <v>10</v>
      </c>
      <c r="E12" s="3" t="s">
        <v>23</v>
      </c>
      <c r="F12" s="3">
        <v>1</v>
      </c>
      <c r="G12" s="3" t="s">
        <v>12</v>
      </c>
    </row>
    <row r="13" spans="1:7" x14ac:dyDescent="0.2">
      <c r="A13" s="3">
        <v>8</v>
      </c>
      <c r="B13" s="3"/>
      <c r="C13" s="3" t="s">
        <v>24</v>
      </c>
      <c r="D13" s="3" t="s">
        <v>10</v>
      </c>
      <c r="E13" s="3" t="s">
        <v>23</v>
      </c>
      <c r="F13" s="3">
        <v>1</v>
      </c>
      <c r="G13" s="3" t="s">
        <v>12</v>
      </c>
    </row>
    <row r="14" spans="1:7" x14ac:dyDescent="0.2">
      <c r="A14" s="2"/>
      <c r="B14" s="2" t="s">
        <v>25</v>
      </c>
      <c r="C14" s="2"/>
      <c r="D14" s="2"/>
      <c r="E14" s="2"/>
      <c r="F14" s="2"/>
      <c r="G14" s="2"/>
    </row>
    <row r="15" spans="1:7" x14ac:dyDescent="0.2">
      <c r="A15" s="3">
        <v>9</v>
      </c>
      <c r="B15" s="3"/>
      <c r="C15" s="3" t="s">
        <v>26</v>
      </c>
      <c r="D15" s="3" t="s">
        <v>15</v>
      </c>
      <c r="E15" s="3" t="s">
        <v>27</v>
      </c>
      <c r="F15" s="3">
        <v>1</v>
      </c>
      <c r="G15" s="3" t="s">
        <v>12</v>
      </c>
    </row>
    <row r="16" spans="1:7" x14ac:dyDescent="0.2">
      <c r="A16" s="3">
        <v>10</v>
      </c>
      <c r="B16" s="3"/>
      <c r="C16" s="3" t="s">
        <v>28</v>
      </c>
      <c r="D16" s="3" t="s">
        <v>10</v>
      </c>
      <c r="E16" s="3" t="s">
        <v>27</v>
      </c>
      <c r="F16" s="3">
        <v>1</v>
      </c>
      <c r="G16" s="3" t="s">
        <v>12</v>
      </c>
    </row>
    <row r="17" spans="1:7" x14ac:dyDescent="0.2">
      <c r="A17" s="3">
        <v>11</v>
      </c>
      <c r="B17" s="3"/>
      <c r="C17" s="3" t="s">
        <v>29</v>
      </c>
      <c r="D17" s="3" t="s">
        <v>15</v>
      </c>
      <c r="E17" s="3" t="s">
        <v>27</v>
      </c>
      <c r="F17" s="3">
        <v>1</v>
      </c>
      <c r="G17" s="3" t="s">
        <v>12</v>
      </c>
    </row>
    <row r="18" spans="1:7" x14ac:dyDescent="0.2">
      <c r="A18" s="3">
        <v>12</v>
      </c>
      <c r="B18" s="3"/>
      <c r="C18" s="3" t="s">
        <v>30</v>
      </c>
      <c r="D18" s="3" t="s">
        <v>15</v>
      </c>
      <c r="E18" s="3" t="s">
        <v>31</v>
      </c>
      <c r="F18" s="3">
        <v>1</v>
      </c>
      <c r="G18" s="3" t="s">
        <v>12</v>
      </c>
    </row>
    <row r="19" spans="1:7" x14ac:dyDescent="0.2">
      <c r="A19" s="2"/>
      <c r="B19" s="2" t="s">
        <v>32</v>
      </c>
      <c r="C19" s="2"/>
      <c r="D19" s="2"/>
      <c r="E19" s="2"/>
      <c r="F19" s="2"/>
      <c r="G19" s="2"/>
    </row>
    <row r="20" spans="1:7" x14ac:dyDescent="0.2">
      <c r="A20" s="3">
        <v>13</v>
      </c>
      <c r="B20" s="3"/>
      <c r="C20" s="3" t="s">
        <v>33</v>
      </c>
      <c r="D20" s="3" t="s">
        <v>15</v>
      </c>
      <c r="E20" s="3" t="s">
        <v>34</v>
      </c>
      <c r="F20" s="3">
        <v>1</v>
      </c>
      <c r="G20" s="3" t="s">
        <v>12</v>
      </c>
    </row>
    <row r="21" spans="1:7" x14ac:dyDescent="0.2">
      <c r="A21" s="3">
        <v>14</v>
      </c>
      <c r="B21" s="3"/>
      <c r="C21" s="3" t="s">
        <v>35</v>
      </c>
      <c r="D21" s="3" t="s">
        <v>15</v>
      </c>
      <c r="E21" s="3" t="s">
        <v>34</v>
      </c>
      <c r="F21" s="3">
        <v>1</v>
      </c>
      <c r="G21" s="3" t="s">
        <v>12</v>
      </c>
    </row>
    <row r="22" spans="1:7" x14ac:dyDescent="0.2">
      <c r="A22" s="3">
        <v>15</v>
      </c>
      <c r="B22" s="3"/>
      <c r="C22" s="3" t="s">
        <v>36</v>
      </c>
      <c r="D22" s="3" t="s">
        <v>10</v>
      </c>
      <c r="E22" s="3" t="s">
        <v>34</v>
      </c>
      <c r="F22" s="3">
        <v>1</v>
      </c>
      <c r="G22" s="3" t="s">
        <v>12</v>
      </c>
    </row>
    <row r="23" spans="1:7" x14ac:dyDescent="0.2">
      <c r="A23" s="3">
        <v>16</v>
      </c>
      <c r="B23" s="3"/>
      <c r="C23" s="3" t="s">
        <v>37</v>
      </c>
      <c r="D23" s="3" t="s">
        <v>10</v>
      </c>
      <c r="E23" s="3" t="s">
        <v>38</v>
      </c>
      <c r="F23" s="3">
        <v>1</v>
      </c>
      <c r="G23" s="3" t="s">
        <v>12</v>
      </c>
    </row>
  </sheetData>
  <mergeCells count="1">
    <mergeCell ref="A1:G1"/>
  </mergeCells>
  <phoneticPr fontId="1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4A574"/>
  </sheetPr>
  <dimension ref="A1:E15"/>
  <sheetViews>
    <sheetView workbookViewId="0">
      <selection sqref="A1:E1"/>
    </sheetView>
  </sheetViews>
  <sheetFormatPr defaultRowHeight="13" x14ac:dyDescent="0.2"/>
  <cols>
    <col min="1" max="1" width="10" customWidth="1"/>
    <col min="2" max="2" width="38" customWidth="1"/>
    <col min="3" max="3" width="12" customWidth="1"/>
    <col min="4" max="4" width="18" customWidth="1"/>
    <col min="5" max="5" width="40" customWidth="1"/>
  </cols>
  <sheetData>
    <row r="1" spans="1:5" ht="16.5" x14ac:dyDescent="0.25">
      <c r="A1" s="13" t="s">
        <v>39</v>
      </c>
      <c r="B1" s="14"/>
      <c r="C1" s="14"/>
      <c r="D1" s="14"/>
      <c r="E1" s="14"/>
    </row>
    <row r="3" spans="1:5" ht="14" x14ac:dyDescent="0.2">
      <c r="A3" s="1" t="s">
        <v>40</v>
      </c>
      <c r="B3" s="1" t="s">
        <v>3</v>
      </c>
      <c r="C3" s="1" t="s">
        <v>4</v>
      </c>
      <c r="D3" s="1" t="s">
        <v>41</v>
      </c>
      <c r="E3" s="1" t="s">
        <v>42</v>
      </c>
    </row>
    <row r="4" spans="1:5" x14ac:dyDescent="0.2">
      <c r="A4" s="4" t="s">
        <v>43</v>
      </c>
      <c r="B4" s="3" t="s">
        <v>44</v>
      </c>
      <c r="C4" s="3" t="s">
        <v>10</v>
      </c>
      <c r="D4" s="3" t="s">
        <v>45</v>
      </c>
      <c r="E4" s="3" t="s">
        <v>46</v>
      </c>
    </row>
    <row r="5" spans="1:5" x14ac:dyDescent="0.2">
      <c r="A5" s="4" t="s">
        <v>47</v>
      </c>
      <c r="B5" s="3" t="s">
        <v>48</v>
      </c>
      <c r="C5" s="3" t="s">
        <v>10</v>
      </c>
      <c r="D5" s="3" t="s">
        <v>49</v>
      </c>
      <c r="E5" s="3" t="s">
        <v>50</v>
      </c>
    </row>
    <row r="6" spans="1:5" x14ac:dyDescent="0.2">
      <c r="A6" s="3" t="s">
        <v>47</v>
      </c>
      <c r="B6" s="3" t="s">
        <v>51</v>
      </c>
      <c r="C6" s="3" t="s">
        <v>10</v>
      </c>
      <c r="D6" s="3" t="s">
        <v>45</v>
      </c>
      <c r="E6" s="3" t="s">
        <v>52</v>
      </c>
    </row>
    <row r="7" spans="1:5" x14ac:dyDescent="0.2">
      <c r="A7" s="4" t="s">
        <v>53</v>
      </c>
      <c r="B7" s="3" t="s">
        <v>54</v>
      </c>
      <c r="C7" s="3" t="s">
        <v>10</v>
      </c>
      <c r="D7" s="3" t="s">
        <v>49</v>
      </c>
      <c r="E7" s="3" t="s">
        <v>55</v>
      </c>
    </row>
    <row r="8" spans="1:5" x14ac:dyDescent="0.2">
      <c r="A8" s="3" t="s">
        <v>53</v>
      </c>
      <c r="B8" s="3" t="s">
        <v>56</v>
      </c>
      <c r="C8" s="3" t="s">
        <v>10</v>
      </c>
      <c r="D8" s="3" t="s">
        <v>57</v>
      </c>
      <c r="E8" s="3" t="s">
        <v>58</v>
      </c>
    </row>
    <row r="9" spans="1:5" x14ac:dyDescent="0.2">
      <c r="A9" s="3" t="s">
        <v>53</v>
      </c>
      <c r="B9" s="3" t="s">
        <v>59</v>
      </c>
      <c r="C9" s="3" t="s">
        <v>10</v>
      </c>
      <c r="D9" s="3" t="s">
        <v>49</v>
      </c>
      <c r="E9" s="3" t="s">
        <v>60</v>
      </c>
    </row>
    <row r="10" spans="1:5" x14ac:dyDescent="0.2">
      <c r="A10" s="4" t="s">
        <v>61</v>
      </c>
      <c r="B10" s="3" t="s">
        <v>62</v>
      </c>
      <c r="C10" s="3" t="s">
        <v>10</v>
      </c>
      <c r="D10" s="3" t="s">
        <v>63</v>
      </c>
      <c r="E10" s="3" t="s">
        <v>64</v>
      </c>
    </row>
    <row r="11" spans="1:5" x14ac:dyDescent="0.2">
      <c r="A11" s="3" t="s">
        <v>61</v>
      </c>
      <c r="B11" s="3" t="s">
        <v>65</v>
      </c>
      <c r="C11" s="3" t="s">
        <v>15</v>
      </c>
      <c r="D11" s="3" t="s">
        <v>66</v>
      </c>
      <c r="E11" s="3" t="s">
        <v>67</v>
      </c>
    </row>
    <row r="12" spans="1:5" x14ac:dyDescent="0.2">
      <c r="A12" s="4" t="s">
        <v>68</v>
      </c>
      <c r="B12" s="3" t="s">
        <v>69</v>
      </c>
      <c r="C12" s="3" t="s">
        <v>15</v>
      </c>
      <c r="D12" s="3" t="s">
        <v>70</v>
      </c>
      <c r="E12" s="3" t="s">
        <v>71</v>
      </c>
    </row>
    <row r="13" spans="1:5" x14ac:dyDescent="0.2">
      <c r="A13" s="3" t="s">
        <v>68</v>
      </c>
      <c r="B13" s="3" t="s">
        <v>72</v>
      </c>
      <c r="C13" s="3" t="s">
        <v>15</v>
      </c>
      <c r="D13" s="3" t="s">
        <v>66</v>
      </c>
      <c r="E13" s="3" t="s">
        <v>73</v>
      </c>
    </row>
    <row r="14" spans="1:5" x14ac:dyDescent="0.2">
      <c r="A14" s="4" t="s">
        <v>74</v>
      </c>
      <c r="B14" s="3" t="s">
        <v>75</v>
      </c>
      <c r="C14" s="3" t="s">
        <v>10</v>
      </c>
      <c r="D14" s="3" t="s">
        <v>57</v>
      </c>
      <c r="E14" s="3" t="s">
        <v>76</v>
      </c>
    </row>
    <row r="15" spans="1:5" x14ac:dyDescent="0.2">
      <c r="A15" s="3" t="s">
        <v>74</v>
      </c>
      <c r="B15" s="3" t="s">
        <v>77</v>
      </c>
      <c r="C15" s="3" t="s">
        <v>10</v>
      </c>
      <c r="D15" s="3" t="s">
        <v>63</v>
      </c>
      <c r="E15" s="3" t="s">
        <v>78</v>
      </c>
    </row>
  </sheetData>
  <mergeCells count="1">
    <mergeCell ref="A1:E1"/>
  </mergeCells>
  <phoneticPr fontId="1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B6B4A"/>
  </sheetPr>
  <dimension ref="A1:F25"/>
  <sheetViews>
    <sheetView workbookViewId="0">
      <selection sqref="A1:F1"/>
    </sheetView>
  </sheetViews>
  <sheetFormatPr defaultRowHeight="13" x14ac:dyDescent="0.2"/>
  <cols>
    <col min="1" max="1" width="8" customWidth="1"/>
    <col min="2" max="2" width="22" customWidth="1"/>
    <col min="3" max="3" width="42" customWidth="1"/>
    <col min="4" max="4" width="16" customWidth="1"/>
    <col min="5" max="5" width="12" customWidth="1"/>
    <col min="6" max="6" width="35" customWidth="1"/>
  </cols>
  <sheetData>
    <row r="1" spans="1:6" ht="16.5" x14ac:dyDescent="0.25">
      <c r="A1" s="13" t="s">
        <v>79</v>
      </c>
      <c r="B1" s="14"/>
      <c r="C1" s="14"/>
      <c r="D1" s="14"/>
      <c r="E1" s="14"/>
      <c r="F1" s="14"/>
    </row>
    <row r="3" spans="1:6" x14ac:dyDescent="0.2">
      <c r="A3" s="15" t="s">
        <v>80</v>
      </c>
      <c r="B3" s="14"/>
      <c r="C3" s="14"/>
      <c r="D3" s="14"/>
      <c r="E3" s="14"/>
      <c r="F3" s="14"/>
    </row>
    <row r="4" spans="1:6" ht="14" x14ac:dyDescent="0.2">
      <c r="A4" s="1" t="s">
        <v>1</v>
      </c>
      <c r="B4" s="1" t="s">
        <v>81</v>
      </c>
      <c r="C4" s="1" t="s">
        <v>82</v>
      </c>
      <c r="D4" s="1" t="s">
        <v>83</v>
      </c>
      <c r="E4" s="1" t="s">
        <v>84</v>
      </c>
      <c r="F4" s="1" t="s">
        <v>42</v>
      </c>
    </row>
    <row r="5" spans="1:6" x14ac:dyDescent="0.2">
      <c r="A5" s="3">
        <v>1</v>
      </c>
      <c r="B5" s="3" t="s">
        <v>85</v>
      </c>
      <c r="C5" s="3" t="s">
        <v>86</v>
      </c>
      <c r="D5" s="5">
        <v>1500</v>
      </c>
      <c r="E5" s="3" t="s">
        <v>87</v>
      </c>
      <c r="F5" s="3" t="s">
        <v>88</v>
      </c>
    </row>
    <row r="6" spans="1:6" x14ac:dyDescent="0.2">
      <c r="A6" s="3">
        <v>2</v>
      </c>
      <c r="B6" s="3" t="s">
        <v>89</v>
      </c>
      <c r="C6" s="3" t="s">
        <v>90</v>
      </c>
      <c r="D6" s="5">
        <v>0</v>
      </c>
      <c r="E6" s="3" t="s">
        <v>87</v>
      </c>
      <c r="F6" s="3" t="s">
        <v>91</v>
      </c>
    </row>
    <row r="7" spans="1:6" x14ac:dyDescent="0.2">
      <c r="A7" s="3">
        <v>3</v>
      </c>
      <c r="B7" s="3" t="s">
        <v>92</v>
      </c>
      <c r="C7" s="3" t="s">
        <v>93</v>
      </c>
      <c r="D7" s="5">
        <v>0</v>
      </c>
      <c r="E7" s="3" t="s">
        <v>87</v>
      </c>
      <c r="F7" s="3" t="s">
        <v>94</v>
      </c>
    </row>
    <row r="8" spans="1:6" x14ac:dyDescent="0.2">
      <c r="A8" s="3">
        <v>4</v>
      </c>
      <c r="B8" s="3" t="s">
        <v>95</v>
      </c>
      <c r="C8" s="3" t="s">
        <v>96</v>
      </c>
      <c r="D8" s="5">
        <v>0</v>
      </c>
      <c r="E8" s="3" t="s">
        <v>97</v>
      </c>
      <c r="F8" s="3" t="s">
        <v>98</v>
      </c>
    </row>
    <row r="9" spans="1:6" x14ac:dyDescent="0.2">
      <c r="A9" s="3">
        <v>5</v>
      </c>
      <c r="B9" s="3" t="s">
        <v>99</v>
      </c>
      <c r="C9" s="3" t="s">
        <v>100</v>
      </c>
      <c r="D9" s="5">
        <v>0</v>
      </c>
      <c r="E9" s="3" t="s">
        <v>97</v>
      </c>
      <c r="F9" s="3" t="s">
        <v>101</v>
      </c>
    </row>
    <row r="10" spans="1:6" x14ac:dyDescent="0.2">
      <c r="A10" s="6"/>
      <c r="B10" s="6"/>
      <c r="C10" s="7" t="s">
        <v>102</v>
      </c>
      <c r="D10" s="8">
        <f>SUM(D5:D9)</f>
        <v>1500</v>
      </c>
      <c r="E10" s="6"/>
      <c r="F10" s="6"/>
    </row>
    <row r="12" spans="1:6" x14ac:dyDescent="0.2">
      <c r="A12" s="15" t="s">
        <v>103</v>
      </c>
      <c r="B12" s="14"/>
      <c r="C12" s="14"/>
      <c r="D12" s="14"/>
      <c r="E12" s="14"/>
      <c r="F12" s="14"/>
    </row>
    <row r="13" spans="1:6" ht="14" x14ac:dyDescent="0.2">
      <c r="A13" s="1" t="s">
        <v>1</v>
      </c>
      <c r="B13" s="1" t="s">
        <v>81</v>
      </c>
      <c r="C13" s="1" t="s">
        <v>82</v>
      </c>
      <c r="D13" s="1" t="s">
        <v>83</v>
      </c>
      <c r="E13" s="1" t="s">
        <v>84</v>
      </c>
      <c r="F13" s="1" t="s">
        <v>42</v>
      </c>
    </row>
    <row r="14" spans="1:6" x14ac:dyDescent="0.2">
      <c r="A14" s="3">
        <v>1</v>
      </c>
      <c r="B14" s="3" t="s">
        <v>104</v>
      </c>
      <c r="C14" s="3" t="s">
        <v>105</v>
      </c>
      <c r="D14" s="5">
        <v>0</v>
      </c>
      <c r="E14" s="3" t="s">
        <v>87</v>
      </c>
      <c r="F14" s="3" t="s">
        <v>106</v>
      </c>
    </row>
    <row r="15" spans="1:6" x14ac:dyDescent="0.2">
      <c r="A15" s="3">
        <v>2</v>
      </c>
      <c r="B15" s="3" t="s">
        <v>104</v>
      </c>
      <c r="C15" s="3" t="s">
        <v>107</v>
      </c>
      <c r="D15" s="5">
        <v>2800</v>
      </c>
      <c r="E15" s="3" t="s">
        <v>97</v>
      </c>
      <c r="F15" s="3" t="s">
        <v>108</v>
      </c>
    </row>
    <row r="16" spans="1:6" x14ac:dyDescent="0.2">
      <c r="A16" s="3">
        <v>3</v>
      </c>
      <c r="B16" s="3" t="s">
        <v>109</v>
      </c>
      <c r="C16" s="3" t="s">
        <v>110</v>
      </c>
      <c r="D16" s="5">
        <v>125</v>
      </c>
      <c r="E16" s="3" t="s">
        <v>87</v>
      </c>
      <c r="F16" s="3" t="s">
        <v>111</v>
      </c>
    </row>
    <row r="17" spans="1:6" x14ac:dyDescent="0.2">
      <c r="A17" s="3">
        <v>4</v>
      </c>
      <c r="B17" s="3" t="s">
        <v>95</v>
      </c>
      <c r="C17" s="3" t="s">
        <v>112</v>
      </c>
      <c r="D17" s="5">
        <v>680</v>
      </c>
      <c r="E17" s="3" t="s">
        <v>97</v>
      </c>
      <c r="F17" s="3" t="s">
        <v>96</v>
      </c>
    </row>
    <row r="18" spans="1:6" x14ac:dyDescent="0.2">
      <c r="A18" s="3">
        <v>5</v>
      </c>
      <c r="B18" s="3" t="s">
        <v>113</v>
      </c>
      <c r="C18" s="3" t="s">
        <v>114</v>
      </c>
      <c r="D18" s="5">
        <v>0</v>
      </c>
      <c r="E18" s="3" t="s">
        <v>97</v>
      </c>
      <c r="F18" s="3" t="s">
        <v>115</v>
      </c>
    </row>
    <row r="19" spans="1:6" x14ac:dyDescent="0.2">
      <c r="A19" s="6"/>
      <c r="B19" s="6"/>
      <c r="C19" s="7" t="s">
        <v>116</v>
      </c>
      <c r="D19" s="8">
        <v>125</v>
      </c>
      <c r="E19" s="6"/>
      <c r="F19" s="6"/>
    </row>
    <row r="21" spans="1:6" x14ac:dyDescent="0.2">
      <c r="A21" s="15" t="s">
        <v>117</v>
      </c>
      <c r="B21" s="14"/>
      <c r="C21" s="14"/>
      <c r="D21" s="14"/>
      <c r="E21" s="14"/>
      <c r="F21" s="14"/>
    </row>
    <row r="22" spans="1:6" x14ac:dyDescent="0.2">
      <c r="A22" s="9" t="s">
        <v>118</v>
      </c>
      <c r="B22" s="9" t="s">
        <v>119</v>
      </c>
      <c r="C22" s="9" t="s">
        <v>120</v>
      </c>
      <c r="D22" s="9" t="s">
        <v>121</v>
      </c>
    </row>
    <row r="23" spans="1:6" ht="60" x14ac:dyDescent="0.2">
      <c r="A23" s="3" t="s">
        <v>122</v>
      </c>
      <c r="B23" s="5">
        <v>1500</v>
      </c>
      <c r="C23" s="5">
        <v>125</v>
      </c>
      <c r="D23" s="5">
        <f>B23+C23*12</f>
        <v>3000</v>
      </c>
    </row>
    <row r="24" spans="1:6" ht="48" x14ac:dyDescent="0.2">
      <c r="A24" s="3" t="s">
        <v>123</v>
      </c>
      <c r="B24" s="5">
        <v>1500</v>
      </c>
      <c r="C24" s="5">
        <v>2925</v>
      </c>
      <c r="D24" s="5">
        <f>B24+C24*12</f>
        <v>36600</v>
      </c>
    </row>
    <row r="25" spans="1:6" ht="48" x14ac:dyDescent="0.2">
      <c r="A25" s="3" t="s">
        <v>124</v>
      </c>
      <c r="B25" s="5">
        <v>1500</v>
      </c>
      <c r="C25" s="5">
        <v>3605</v>
      </c>
      <c r="D25" s="5">
        <f>B25+C25*12</f>
        <v>44760</v>
      </c>
    </row>
  </sheetData>
  <mergeCells count="4">
    <mergeCell ref="A3:F3"/>
    <mergeCell ref="A21:F21"/>
    <mergeCell ref="A1:F1"/>
    <mergeCell ref="A12:F12"/>
  </mergeCells>
  <phoneticPr fontId="1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A2E1A"/>
  </sheetPr>
  <dimension ref="A1:H17"/>
  <sheetViews>
    <sheetView tabSelected="1" workbookViewId="0">
      <selection activeCell="C15" sqref="C15"/>
    </sheetView>
  </sheetViews>
  <sheetFormatPr defaultRowHeight="13" x14ac:dyDescent="0.2"/>
  <cols>
    <col min="1" max="2" width="18" customWidth="1"/>
    <col min="3" max="4" width="16" customWidth="1"/>
    <col min="5" max="6" width="14" customWidth="1"/>
    <col min="7" max="7" width="18" customWidth="1"/>
    <col min="8" max="8" width="14" customWidth="1"/>
  </cols>
  <sheetData>
    <row r="1" spans="1:8" ht="16.5" x14ac:dyDescent="0.25">
      <c r="A1" s="13" t="s">
        <v>125</v>
      </c>
      <c r="B1" s="14"/>
      <c r="C1" s="14"/>
      <c r="D1" s="14"/>
      <c r="E1" s="14"/>
      <c r="F1" s="14"/>
      <c r="G1" s="14"/>
      <c r="H1" s="14"/>
    </row>
    <row r="3" spans="1:8" ht="14" x14ac:dyDescent="0.2">
      <c r="A3" s="1" t="s">
        <v>126</v>
      </c>
      <c r="B3" s="1" t="s">
        <v>120</v>
      </c>
      <c r="C3" s="1" t="s">
        <v>127</v>
      </c>
      <c r="D3" s="1" t="s">
        <v>128</v>
      </c>
      <c r="E3" s="1" t="s">
        <v>129</v>
      </c>
      <c r="F3" s="1" t="s">
        <v>130</v>
      </c>
      <c r="G3" s="1" t="s">
        <v>131</v>
      </c>
      <c r="H3" s="1" t="s">
        <v>132</v>
      </c>
    </row>
    <row r="4" spans="1:8" x14ac:dyDescent="0.2">
      <c r="A4" s="10" t="s">
        <v>133</v>
      </c>
      <c r="B4" s="10" t="s">
        <v>134</v>
      </c>
      <c r="C4" s="10" t="s">
        <v>135</v>
      </c>
      <c r="D4" s="10" t="s">
        <v>136</v>
      </c>
      <c r="E4" s="10" t="s">
        <v>137</v>
      </c>
      <c r="F4" s="10" t="s">
        <v>138</v>
      </c>
      <c r="G4" s="10" t="s">
        <v>139</v>
      </c>
      <c r="H4" s="10" t="s">
        <v>140</v>
      </c>
    </row>
    <row r="5" spans="1:8" x14ac:dyDescent="0.2">
      <c r="A5" s="3" t="s">
        <v>141</v>
      </c>
      <c r="B5" s="3" t="s">
        <v>134</v>
      </c>
      <c r="C5" s="3" t="s">
        <v>142</v>
      </c>
      <c r="D5" s="3" t="s">
        <v>143</v>
      </c>
      <c r="E5" s="3" t="s">
        <v>137</v>
      </c>
      <c r="F5" s="3" t="s">
        <v>138</v>
      </c>
      <c r="G5" s="3" t="s">
        <v>139</v>
      </c>
      <c r="H5" s="3" t="s">
        <v>144</v>
      </c>
    </row>
    <row r="6" spans="1:8" x14ac:dyDescent="0.2">
      <c r="A6" s="3" t="s">
        <v>145</v>
      </c>
      <c r="B6" s="3" t="s">
        <v>146</v>
      </c>
      <c r="C6" s="3" t="s">
        <v>147</v>
      </c>
      <c r="D6" s="3" t="s">
        <v>143</v>
      </c>
      <c r="E6" s="3" t="s">
        <v>137</v>
      </c>
      <c r="F6" s="3" t="s">
        <v>138</v>
      </c>
      <c r="G6" s="3" t="s">
        <v>148</v>
      </c>
      <c r="H6" s="3" t="s">
        <v>144</v>
      </c>
    </row>
    <row r="7" spans="1:8" x14ac:dyDescent="0.2">
      <c r="A7" s="3" t="s">
        <v>149</v>
      </c>
      <c r="B7" s="3" t="s">
        <v>150</v>
      </c>
      <c r="C7" s="3" t="s">
        <v>151</v>
      </c>
      <c r="D7" s="3" t="s">
        <v>143</v>
      </c>
      <c r="E7" s="3" t="s">
        <v>152</v>
      </c>
      <c r="F7" s="3" t="s">
        <v>138</v>
      </c>
      <c r="G7" s="3" t="s">
        <v>153</v>
      </c>
      <c r="H7" s="3" t="s">
        <v>154</v>
      </c>
    </row>
    <row r="8" spans="1:8" ht="24" x14ac:dyDescent="0.2">
      <c r="A8" s="3" t="s">
        <v>155</v>
      </c>
      <c r="B8" s="3" t="s">
        <v>156</v>
      </c>
      <c r="C8" s="3" t="s">
        <v>157</v>
      </c>
      <c r="D8" s="3" t="s">
        <v>158</v>
      </c>
      <c r="E8" s="3" t="s">
        <v>143</v>
      </c>
      <c r="F8" s="3" t="s">
        <v>159</v>
      </c>
      <c r="G8" s="3" t="s">
        <v>148</v>
      </c>
      <c r="H8" s="3" t="s">
        <v>160</v>
      </c>
    </row>
    <row r="9" spans="1:8" ht="24" x14ac:dyDescent="0.2">
      <c r="A9" s="3" t="s">
        <v>161</v>
      </c>
      <c r="B9" s="3" t="s">
        <v>162</v>
      </c>
      <c r="C9" s="3" t="s">
        <v>157</v>
      </c>
      <c r="D9" s="3" t="s">
        <v>158</v>
      </c>
      <c r="E9" s="3" t="s">
        <v>143</v>
      </c>
      <c r="F9" s="3" t="s">
        <v>159</v>
      </c>
      <c r="G9" s="3" t="s">
        <v>148</v>
      </c>
      <c r="H9" s="3" t="s">
        <v>160</v>
      </c>
    </row>
    <row r="10" spans="1:8" x14ac:dyDescent="0.2">
      <c r="A10" s="3" t="s">
        <v>163</v>
      </c>
      <c r="B10" s="3" t="s">
        <v>164</v>
      </c>
      <c r="C10" s="3" t="s">
        <v>157</v>
      </c>
      <c r="D10" s="3" t="s">
        <v>165</v>
      </c>
      <c r="E10" s="3" t="s">
        <v>143</v>
      </c>
      <c r="F10" s="3" t="s">
        <v>166</v>
      </c>
      <c r="G10" s="3" t="s">
        <v>148</v>
      </c>
      <c r="H10" s="3" t="s">
        <v>154</v>
      </c>
    </row>
    <row r="12" spans="1:8" x14ac:dyDescent="0.2">
      <c r="A12" s="16" t="s">
        <v>167</v>
      </c>
      <c r="B12" s="14"/>
      <c r="C12" s="14"/>
      <c r="D12" s="14"/>
      <c r="E12" s="14"/>
      <c r="F12" s="14"/>
      <c r="G12" s="14"/>
      <c r="H12" s="14"/>
    </row>
    <row r="14" spans="1:8" x14ac:dyDescent="0.2">
      <c r="A14" s="15" t="s">
        <v>168</v>
      </c>
      <c r="B14" s="14"/>
      <c r="C14" s="14"/>
      <c r="D14" s="14"/>
      <c r="E14" s="14"/>
      <c r="F14" s="14"/>
      <c r="G14" s="14"/>
      <c r="H14" s="14"/>
    </row>
    <row r="15" spans="1:8" ht="84" x14ac:dyDescent="0.2">
      <c r="A15" s="11" t="s">
        <v>169</v>
      </c>
      <c r="B15" s="3" t="s">
        <v>170</v>
      </c>
      <c r="C15" s="3" t="s">
        <v>171</v>
      </c>
    </row>
    <row r="16" spans="1:8" ht="60" x14ac:dyDescent="0.2">
      <c r="A16" s="3" t="s">
        <v>172</v>
      </c>
      <c r="B16" s="3" t="s">
        <v>173</v>
      </c>
      <c r="C16" s="3" t="s">
        <v>174</v>
      </c>
    </row>
    <row r="17" spans="1:3" ht="72" x14ac:dyDescent="0.2">
      <c r="A17" s="12" t="s">
        <v>175</v>
      </c>
      <c r="B17" s="3" t="s">
        <v>176</v>
      </c>
      <c r="C17" s="3" t="s">
        <v>177</v>
      </c>
    </row>
  </sheetData>
  <mergeCells count="3">
    <mergeCell ref="A12:H12"/>
    <mergeCell ref="A14:H14"/>
    <mergeCell ref="A1:H1"/>
  </mergeCells>
  <phoneticPr fontId="1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リリース計画</vt:lpstr>
      <vt:lpstr>運用計画</vt:lpstr>
      <vt:lpstr>費用一覧</vt:lpstr>
      <vt:lpstr>ホスティング比較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竜徳 中川</cp:lastModifiedBy>
  <dcterms:created xsi:type="dcterms:W3CDTF">2026-03-15T03:57:45Z</dcterms:created>
  <dcterms:modified xsi:type="dcterms:W3CDTF">2026-03-15T04:44:05Z</dcterms:modified>
</cp:coreProperties>
</file>